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colli\Documents\GitHub\Reusable-Components\Docs\"/>
    </mc:Choice>
  </mc:AlternateContent>
  <xr:revisionPtr revIDLastSave="0" documentId="13_ncr:1_{689A0112-A1A3-41E3-B835-1A71D935E40C}" xr6:coauthVersionLast="47" xr6:coauthVersionMax="47" xr10:uidLastSave="{00000000-0000-0000-0000-000000000000}"/>
  <bookViews>
    <workbookView xWindow="-110" yWindow="-110" windowWidth="25820" windowHeight="16220" activeTab="1" xr2:uid="{00000000-000D-0000-FFFF-FFFF00000000}"/>
  </bookViews>
  <sheets>
    <sheet name="Planning" sheetId="5" r:id="rId1"/>
    <sheet name="Rubrics" sheetId="6" r:id="rId2"/>
  </sheets>
  <definedNames>
    <definedName name="_xlnm.Print_Area" localSheetId="0">Planning!$A$1:$L$22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6" l="1"/>
  <c r="G6" i="6"/>
  <c r="G8" i="6"/>
  <c r="G10" i="6"/>
  <c r="G12" i="6"/>
  <c r="G14" i="6"/>
  <c r="G16" i="6"/>
  <c r="G18" i="6"/>
  <c r="G20" i="6"/>
  <c r="G22" i="6"/>
  <c r="G24" i="6"/>
  <c r="G26" i="6" l="1"/>
  <c r="B19" i="5"/>
</calcChain>
</file>

<file path=xl/sharedStrings.xml><?xml version="1.0" encoding="utf-8"?>
<sst xmlns="http://schemas.openxmlformats.org/spreadsheetml/2006/main" count="120" uniqueCount="94">
  <si>
    <t>Periode planning Reusable components</t>
  </si>
  <si>
    <t xml:space="preserve">   week nr</t>
  </si>
  <si>
    <t>Lesweek</t>
  </si>
  <si>
    <t>Dat</t>
  </si>
  <si>
    <t>Maandag</t>
  </si>
  <si>
    <t>Dinsdag</t>
  </si>
  <si>
    <t>Woensdag</t>
  </si>
  <si>
    <t>Donderdag</t>
  </si>
  <si>
    <t>Vrijdag</t>
  </si>
  <si>
    <t>Toetsweek</t>
  </si>
  <si>
    <t>Meivakantie</t>
  </si>
  <si>
    <t>Hemelvaartsdag</t>
  </si>
  <si>
    <t>Dag na Hemelvaart</t>
  </si>
  <si>
    <t>Tweede Pinksterdag</t>
  </si>
  <si>
    <t>Zomervakantie</t>
  </si>
  <si>
    <r>
      <rPr>
        <b/>
        <sz val="6"/>
        <color rgb="FF000000"/>
        <rFont val="Arial"/>
        <family val="2"/>
      </rPr>
      <t xml:space="preserve">Les01
</t>
    </r>
    <r>
      <rPr>
        <sz val="6"/>
        <color rgb="FF000000"/>
        <rFont val="Arial"/>
        <family val="2"/>
      </rPr>
      <t>Kickoff</t>
    </r>
  </si>
  <si>
    <r>
      <rPr>
        <b/>
        <sz val="6"/>
        <color rgb="FF000000"/>
        <rFont val="Arial"/>
        <family val="2"/>
      </rPr>
      <t xml:space="preserve">Les02
</t>
    </r>
    <r>
      <rPr>
        <sz val="6"/>
        <color rgb="FF000000"/>
        <rFont val="Arial"/>
        <family val="2"/>
      </rPr>
      <t>Theorie 1</t>
    </r>
  </si>
  <si>
    <r>
      <rPr>
        <b/>
        <sz val="6"/>
        <rFont val="Arial"/>
        <family val="2"/>
      </rPr>
      <t>Les06</t>
    </r>
    <r>
      <rPr>
        <sz val="6"/>
        <rFont val="Arial"/>
        <family val="2"/>
      </rPr>
      <t xml:space="preserve">
Theorie 3</t>
    </r>
  </si>
  <si>
    <r>
      <rPr>
        <b/>
        <sz val="6"/>
        <rFont val="Arial"/>
        <family val="2"/>
      </rPr>
      <t>Les13</t>
    </r>
    <r>
      <rPr>
        <sz val="6"/>
        <rFont val="Arial"/>
        <family val="2"/>
      </rPr>
      <t xml:space="preserve">
showcase 3</t>
    </r>
  </si>
  <si>
    <r>
      <rPr>
        <b/>
        <sz val="6"/>
        <rFont val="Arial"/>
        <family val="2"/>
      </rPr>
      <t>Les14</t>
    </r>
    <r>
      <rPr>
        <sz val="6"/>
        <rFont val="Arial"/>
        <family val="2"/>
      </rPr>
      <t xml:space="preserve">
Feedback verwerken</t>
    </r>
  </si>
  <si>
    <r>
      <rPr>
        <b/>
        <sz val="6"/>
        <rFont val="Arial"/>
        <family val="2"/>
      </rPr>
      <t>Les02</t>
    </r>
    <r>
      <rPr>
        <sz val="6"/>
        <rFont val="Arial"/>
        <family val="2"/>
      </rPr>
      <t xml:space="preserve">
Workshop maken</t>
    </r>
  </si>
  <si>
    <r>
      <rPr>
        <b/>
        <sz val="6"/>
        <rFont val="Arial"/>
        <family val="2"/>
      </rPr>
      <t>Les04</t>
    </r>
    <r>
      <rPr>
        <sz val="6"/>
        <rFont val="Arial"/>
        <family val="2"/>
      </rPr>
      <t xml:space="preserve">
Workshop maken</t>
    </r>
  </si>
  <si>
    <r>
      <rPr>
        <b/>
        <sz val="6"/>
        <rFont val="Arial"/>
        <family val="2"/>
      </rPr>
      <t>Les05</t>
    </r>
    <r>
      <rPr>
        <sz val="6"/>
        <rFont val="Arial"/>
        <family val="2"/>
      </rPr>
      <t xml:space="preserve">
Workshops en feedback</t>
    </r>
  </si>
  <si>
    <r>
      <t xml:space="preserve">Les08
</t>
    </r>
    <r>
      <rPr>
        <sz val="6"/>
        <rFont val="Arial"/>
        <family val="2"/>
      </rPr>
      <t>Werken aan game</t>
    </r>
  </si>
  <si>
    <r>
      <rPr>
        <b/>
        <sz val="6"/>
        <color rgb="FF000000"/>
        <rFont val="Arial"/>
        <family val="2"/>
      </rPr>
      <t xml:space="preserve">Les01
</t>
    </r>
    <r>
      <rPr>
        <sz val="6"/>
        <color rgb="FF000000"/>
        <rFont val="Arial"/>
        <family val="2"/>
      </rPr>
      <t>Workshop workshop maken</t>
    </r>
  </si>
  <si>
    <r>
      <rPr>
        <b/>
        <sz val="6"/>
        <rFont val="Arial"/>
        <family val="2"/>
      </rPr>
      <t>Les04</t>
    </r>
    <r>
      <rPr>
        <sz val="6"/>
        <rFont val="Arial"/>
        <family val="2"/>
      </rPr>
      <t xml:space="preserve">
Recap + Theorie 2</t>
    </r>
  </si>
  <si>
    <r>
      <rPr>
        <b/>
        <sz val="6"/>
        <rFont val="Arial"/>
        <family val="2"/>
      </rPr>
      <t>Les05</t>
    </r>
    <r>
      <rPr>
        <sz val="6"/>
        <rFont val="Arial"/>
        <family val="2"/>
      </rPr>
      <t xml:space="preserve">
Werken aan game</t>
    </r>
  </si>
  <si>
    <r>
      <t xml:space="preserve">Les07
</t>
    </r>
    <r>
      <rPr>
        <sz val="6"/>
        <rFont val="Arial"/>
        <family val="2"/>
      </rPr>
      <t>Showcase 1</t>
    </r>
  </si>
  <si>
    <r>
      <rPr>
        <b/>
        <sz val="6"/>
        <rFont val="Arial"/>
        <family val="2"/>
      </rPr>
      <t>Les10</t>
    </r>
    <r>
      <rPr>
        <sz val="6"/>
        <rFont val="Arial"/>
        <family val="2"/>
      </rPr>
      <t xml:space="preserve">
Showcase 2</t>
    </r>
  </si>
  <si>
    <r>
      <rPr>
        <b/>
        <sz val="6"/>
        <rFont val="Arial"/>
        <family val="2"/>
      </rPr>
      <t>Les09</t>
    </r>
    <r>
      <rPr>
        <sz val="6"/>
        <rFont val="Arial"/>
        <family val="2"/>
      </rPr>
      <t xml:space="preserve">
Theorie 4</t>
    </r>
  </si>
  <si>
    <r>
      <t xml:space="preserve">Les11
</t>
    </r>
    <r>
      <rPr>
        <sz val="6"/>
        <rFont val="Arial"/>
        <family val="2"/>
      </rPr>
      <t>Feedback verwerken</t>
    </r>
  </si>
  <si>
    <r>
      <rPr>
        <b/>
        <sz val="6"/>
        <rFont val="Arial"/>
        <family val="2"/>
      </rPr>
      <t>Les03</t>
    </r>
    <r>
      <rPr>
        <sz val="6"/>
        <rFont val="Arial"/>
        <family val="2"/>
      </rPr>
      <t xml:space="preserve">
Werken aan game + documentatie + 1 vraag p.p.</t>
    </r>
  </si>
  <si>
    <r>
      <t xml:space="preserve">Les12
</t>
    </r>
    <r>
      <rPr>
        <sz val="6"/>
        <rFont val="Arial"/>
        <family val="2"/>
      </rPr>
      <t>Werken aan game</t>
    </r>
  </si>
  <si>
    <t>Student:</t>
  </si>
  <si>
    <t>Beoordeeld door:</t>
  </si>
  <si>
    <t>Criteria</t>
  </si>
  <si>
    <t>Ontbreekt</t>
  </si>
  <si>
    <t>Incompleet</t>
  </si>
  <si>
    <t>Voldoende</t>
  </si>
  <si>
    <t>Goed</t>
  </si>
  <si>
    <t>Score</t>
  </si>
  <si>
    <t>Feedback:</t>
  </si>
  <si>
    <t>Player behaviour</t>
  </si>
  <si>
    <r>
      <t>Player behaviour kan NIET</t>
    </r>
    <r>
      <rPr>
        <sz val="9"/>
        <color rgb="FF000000"/>
        <rFont val="Calibri"/>
        <family val="2"/>
      </rPr>
      <t xml:space="preserve"> toegevoegd/omgeruild worden zoals beschreven in de criteria</t>
    </r>
  </si>
  <si>
    <r>
      <t xml:space="preserve">Player behaviour kan </t>
    </r>
    <r>
      <rPr>
        <b/>
        <sz val="9"/>
        <color rgb="FF000000"/>
        <rFont val="Calibri"/>
        <family val="2"/>
      </rPr>
      <t xml:space="preserve">WEL </t>
    </r>
    <r>
      <rPr>
        <sz val="9"/>
        <color rgb="FF000000"/>
        <rFont val="Calibri"/>
        <family val="2"/>
      </rPr>
      <t>toegevoegd/omgeruild worden zoals beschreven in de criteria</t>
    </r>
  </si>
  <si>
    <r>
      <t>Voldoende</t>
    </r>
    <r>
      <rPr>
        <sz val="9"/>
        <color rgb="FF000000"/>
        <rFont val="Calibri"/>
        <family val="2"/>
      </rPr>
      <t xml:space="preserve"> + intensief gebruikt en of voegt veel waarde toe aan de game.</t>
    </r>
  </si>
  <si>
    <t>Hergebruik components</t>
  </si>
  <si>
    <r>
      <t xml:space="preserve">Components zijn </t>
    </r>
    <r>
      <rPr>
        <b/>
        <sz val="9"/>
        <color rgb="FF000000"/>
        <rFont val="Calibri"/>
        <family val="2"/>
      </rPr>
      <t>MINDER</t>
    </r>
    <r>
      <rPr>
        <sz val="9"/>
        <color rgb="FF000000"/>
        <rFont val="Calibri"/>
        <family val="2"/>
      </rPr>
      <t xml:space="preserve"> dan 20 x hergebruikt</t>
    </r>
  </si>
  <si>
    <r>
      <t xml:space="preserve">Components zijn </t>
    </r>
    <r>
      <rPr>
        <b/>
        <sz val="9"/>
        <color rgb="FF000000"/>
        <rFont val="Calibri"/>
        <family val="2"/>
      </rPr>
      <t xml:space="preserve">MEER </t>
    </r>
    <r>
      <rPr>
        <sz val="9"/>
        <color rgb="FF000000"/>
        <rFont val="Calibri"/>
        <family val="2"/>
      </rPr>
      <t>dan 20 x hergebruikt</t>
    </r>
  </si>
  <si>
    <t>Components zijn MEER dan 30 x hergebruikt</t>
  </si>
  <si>
    <t>Component variaties</t>
  </si>
  <si>
    <r>
      <t xml:space="preserve">MINDER </t>
    </r>
    <r>
      <rPr>
        <sz val="9"/>
        <color rgb="FF000000"/>
        <rFont val="Calibri"/>
        <family val="2"/>
      </rPr>
      <t>dan 2 interfaces</t>
    </r>
    <r>
      <rPr>
        <b/>
        <sz val="9"/>
        <color rgb="FF000000"/>
        <rFont val="Calibri"/>
        <family val="2"/>
      </rPr>
      <t xml:space="preserve">
MINDER</t>
    </r>
    <r>
      <rPr>
        <sz val="9"/>
        <color rgb="FF000000"/>
        <rFont val="Calibri"/>
        <family val="2"/>
      </rPr>
      <t xml:space="preserve"> dan twee variatie components per interface</t>
    </r>
  </si>
  <si>
    <r>
      <t xml:space="preserve">MINSTENS </t>
    </r>
    <r>
      <rPr>
        <sz val="9"/>
        <color rgb="FF000000"/>
        <rFont val="Calibri"/>
        <family val="2"/>
      </rPr>
      <t>2 interfaces</t>
    </r>
    <r>
      <rPr>
        <b/>
        <sz val="9"/>
        <color rgb="FF000000"/>
        <rFont val="Calibri"/>
        <family val="2"/>
      </rPr>
      <t xml:space="preserve">
MINSTENS</t>
    </r>
    <r>
      <rPr>
        <sz val="9"/>
        <color rgb="FF000000"/>
        <rFont val="Calibri"/>
        <family val="2"/>
      </rPr>
      <t xml:space="preserve"> twee variatie components per interface</t>
    </r>
  </si>
  <si>
    <r>
      <t xml:space="preserve">MINSTENS </t>
    </r>
    <r>
      <rPr>
        <sz val="9"/>
        <color rgb="FF000000"/>
        <rFont val="Calibri"/>
        <family val="2"/>
      </rPr>
      <t>3 interfaces</t>
    </r>
    <r>
      <rPr>
        <b/>
        <sz val="9"/>
        <color rgb="FF000000"/>
        <rFont val="Calibri"/>
        <family val="2"/>
      </rPr>
      <t xml:space="preserve">
MINSTENS</t>
    </r>
    <r>
      <rPr>
        <sz val="9"/>
        <color rgb="FF000000"/>
        <rFont val="Calibri"/>
        <family val="2"/>
      </rPr>
      <t xml:space="preserve"> twee variatie components per interface</t>
    </r>
  </si>
  <si>
    <t>Events</t>
  </si>
  <si>
    <t>De game bevat geen events</t>
  </si>
  <si>
    <t>De game bevat events.</t>
  </si>
  <si>
    <t xml:space="preserve">De game bevat components die door middel van events meer Reusable zijn geworden. </t>
  </si>
  <si>
    <t>Clean Code</t>
  </si>
  <si>
    <t>Niet alle Clean Code criteria zijn verwerkt</t>
  </si>
  <si>
    <t>Alle Clean Code criteria zijn verwerkt</t>
  </si>
  <si>
    <r>
      <t>Voldoende</t>
    </r>
    <r>
      <rPr>
        <sz val="9"/>
        <color rgb="FF000000"/>
        <rFont val="Calibri"/>
        <family val="2"/>
      </rPr>
      <t xml:space="preserve"> + </t>
    </r>
    <r>
      <rPr>
        <b/>
        <sz val="9"/>
        <color rgb="FF7030A0"/>
        <rFont val="Calibri"/>
        <family val="2"/>
      </rPr>
      <t>(Extra criteria)</t>
    </r>
    <r>
      <rPr>
        <sz val="9"/>
        <color rgb="FF000000"/>
        <rFont val="Calibri"/>
        <family val="2"/>
      </rPr>
      <t xml:space="preserve"> zijn verwerkt</t>
    </r>
  </si>
  <si>
    <t>User Story A1</t>
  </si>
  <si>
    <r>
      <t xml:space="preserve">User Story voldoet </t>
    </r>
    <r>
      <rPr>
        <b/>
        <sz val="9"/>
        <color rgb="FF000000"/>
        <rFont val="Calibri"/>
        <family val="2"/>
      </rPr>
      <t>NIET</t>
    </r>
    <r>
      <rPr>
        <sz val="9"/>
        <color rgb="FF000000"/>
        <rFont val="Calibri"/>
        <family val="2"/>
      </rPr>
      <t xml:space="preserve"> aan alle Acceptatie criteria</t>
    </r>
  </si>
  <si>
    <t>User Story voldoet aan alle Acceptatiecriteria</t>
  </si>
  <si>
    <r>
      <t>Voldoende</t>
    </r>
    <r>
      <rPr>
        <sz val="9"/>
        <color rgb="FF000000"/>
        <rFont val="Calibri"/>
        <family val="2"/>
      </rPr>
      <t xml:space="preserve"> + voldoet aan alle </t>
    </r>
    <r>
      <rPr>
        <b/>
        <sz val="9"/>
        <color rgb="FF7030A0"/>
        <rFont val="Calibri"/>
        <family val="2"/>
      </rPr>
      <t>(Extra criteria)</t>
    </r>
  </si>
  <si>
    <t>User Story A2</t>
  </si>
  <si>
    <r>
      <t>Voldoende</t>
    </r>
    <r>
      <rPr>
        <sz val="9"/>
        <color rgb="FF000000"/>
        <rFont val="Calibri"/>
        <family val="2"/>
      </rPr>
      <t xml:space="preserve"> + voldoet aan alle </t>
    </r>
    <r>
      <rPr>
        <b/>
        <sz val="9"/>
        <color rgb="FF7030A0"/>
        <rFont val="Calibri"/>
        <family val="2"/>
      </rPr>
      <t>(Extra criteria)</t>
    </r>
    <r>
      <rPr>
        <sz val="9"/>
        <color rgb="FF000000"/>
        <rFont val="Calibri"/>
        <family val="2"/>
      </rPr>
      <t xml:space="preserve"> </t>
    </r>
  </si>
  <si>
    <t>User Story A3</t>
  </si>
  <si>
    <t>Portfolio Item</t>
  </si>
  <si>
    <r>
      <t xml:space="preserve">Portfolio eisen voldoen </t>
    </r>
    <r>
      <rPr>
        <b/>
        <sz val="9"/>
        <color rgb="FF000000"/>
        <rFont val="Calibri"/>
        <family val="2"/>
      </rPr>
      <t>NIET</t>
    </r>
    <r>
      <rPr>
        <sz val="9"/>
        <color rgb="FF000000"/>
        <rFont val="Calibri"/>
        <family val="2"/>
      </rPr>
      <t xml:space="preserve"> aan alle eisen onder het kopje “Voldoende”</t>
    </r>
  </si>
  <si>
    <t>Portfolio eisen voldoen aan alle eisen onder het kopje “Voldoende”</t>
  </si>
  <si>
    <t>Portfolio eisen voldoen aan alle eisen onder het kopje “Voldoende” en “Goed”</t>
  </si>
  <si>
    <t>Reflectie Verslag</t>
  </si>
  <si>
    <r>
      <t>Niet</t>
    </r>
    <r>
      <rPr>
        <sz val="9"/>
        <color rgb="FF000000"/>
        <rFont val="Calibri"/>
        <family val="2"/>
      </rPr>
      <t xml:space="preserve"> op 5 punten gereflecteerd  + procesreflectie</t>
    </r>
  </si>
  <si>
    <t>Op 5 punten gereflecteerd  + procesreflectie</t>
  </si>
  <si>
    <t>Diepgaand op 5 punten gereflecteerd  + procesreflectie + verbetervoorstel</t>
  </si>
  <si>
    <t>Beoordeling ingevuld</t>
  </si>
  <si>
    <r>
      <t>Beoordeling is</t>
    </r>
    <r>
      <rPr>
        <b/>
        <sz val="9"/>
        <color rgb="FF000000"/>
        <rFont val="Calibri"/>
        <family val="2"/>
      </rPr>
      <t xml:space="preserve"> niet compleet</t>
    </r>
    <r>
      <rPr>
        <sz val="9"/>
        <color rgb="FF000000"/>
        <rFont val="Calibri"/>
        <family val="2"/>
      </rPr>
      <t xml:space="preserve"> ingevuld</t>
    </r>
  </si>
  <si>
    <t>Beoordeling is compleet ingevuld, maar feedback ontbreekt</t>
  </si>
  <si>
    <t>Beoordeling is compleet ingevuld en voorzien van feedback</t>
  </si>
  <si>
    <t>Eindbeoordeling:</t>
  </si>
  <si>
    <t>Collin Kloppenburg</t>
  </si>
  <si>
    <t>Hele entity control systeem is gemaakt via events.</t>
  </si>
  <si>
    <t>Alle components op een entity (player of enemy) toegevoeg worden en omgeruild worden tijdens runtime, wel heb ik jammer genoeg niet echt een situatie toegevoed waar dit automatisch gebeurd. Voor nu is dit alleen mogelijk door de developer. De game zou beter zijn als er ook echt runtime dingen worden aangepast aan de player.</t>
  </si>
  <si>
    <t>Meerdere components zijn op een paar plekken gebruikt, Bv. Explosie systeem wordt door 3 verschillende objecten gebruikt (C4, Exploding enemy en explosieve barrel). Er is goed gebruik van gemaakt waar nodig.</t>
  </si>
  <si>
    <t xml:space="preserve">Interfaces worden vooral gebruikt voor damage en explosies, deze worden overal gebruikt van player health, breekbare buren tot de explosieven zichzelf. </t>
  </si>
  <si>
    <t>Code is netjes, assembly definitions worden soms gebruikt om script build times te verlagen. Wel is de kwaliteit ietsjes lager omdat ik paar scripts snel heb gemaakt.</t>
  </si>
  <si>
    <t>De game heeft een eind doel (alle enemies verslaan), en de game laat een win/lose scherm zien. Wel is er niet echt een game-flow in het geval van progressie door bv een laptop heen.</t>
  </si>
  <si>
    <t>De game heeft een dynamische tutorial om controls te laten zien, er zijn geen duidelijke bugs. Verder is wel goed, misschien in de toekomst de tutorial een eigen scene.</t>
  </si>
  <si>
    <t>De game heeft een start/win/lose scherm, en je kan vanuit het win en verlies scherm terug naar het start scherm. Wel had ik meer tijd kunnen spenderen aan het maken van een destincte ui style (ook in main game)</t>
  </si>
  <si>
    <t>De portfolio pagine bestaat, en je kan wat van de info inlezen, wel mag hij wat dieper in informatie over de game.</t>
  </si>
  <si>
    <t>Beordeling is ingevuld met feedback, wel wist ik niet precies wat ik qua feedback aan mijzelf moest geven.</t>
  </si>
  <si>
    <t>Ik heb simpel gepraat over een paar feedback punten die ik heb gekregen, ook heb ik gereflecteerd op het eindproduct en het proces dat ik heb uitgevoerd om bij het eindproduct te komen.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</si>
</sst>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numFmts>
  <fonts count="28" x14ac:knownFonts="1">
    <font>
      <sz val="10"/>
      <name val="Arial"/>
      <family val="2"/>
    </font>
    <font>
      <sz val="11"/>
      <color theme="1"/>
      <name val="Calibri"/>
      <family val="2"/>
      <scheme val="minor"/>
    </font>
    <font>
      <b/>
      <sz val="10"/>
      <name val="Arial"/>
      <family val="2"/>
    </font>
    <font>
      <sz val="7"/>
      <name val="Arial"/>
      <family val="2"/>
    </font>
    <font>
      <sz val="8"/>
      <name val="Arial"/>
      <family val="2"/>
    </font>
    <font>
      <b/>
      <sz val="7"/>
      <name val="Arial"/>
      <family val="2"/>
    </font>
    <font>
      <sz val="10"/>
      <name val="Open Sans"/>
      <family val="2"/>
    </font>
    <font>
      <b/>
      <sz val="12"/>
      <name val="Arial"/>
      <family val="2"/>
    </font>
    <font>
      <b/>
      <sz val="6"/>
      <name val="Arial"/>
      <family val="2"/>
    </font>
    <font>
      <sz val="6"/>
      <name val="Arial"/>
      <family val="2"/>
    </font>
    <font>
      <b/>
      <sz val="6"/>
      <name val="Calibri"/>
      <family val="2"/>
      <scheme val="minor"/>
    </font>
    <font>
      <sz val="6"/>
      <color rgb="FF000000"/>
      <name val="Arial"/>
      <family val="2"/>
    </font>
    <font>
      <b/>
      <sz val="6"/>
      <color rgb="FF000000"/>
      <name val="Arial"/>
      <family val="2"/>
    </font>
    <font>
      <sz val="6"/>
      <name val="Calibri"/>
      <family val="2"/>
      <scheme val="minor"/>
    </font>
    <font>
      <b/>
      <sz val="9"/>
      <color rgb="FFFFFFFF"/>
      <name val="Calibri"/>
      <family val="2"/>
    </font>
    <font>
      <sz val="9"/>
      <color rgb="FFFFFFFF"/>
      <name val="Calibri"/>
      <family val="2"/>
    </font>
    <font>
      <b/>
      <sz val="9"/>
      <color rgb="FFC00000"/>
      <name val="Calibri"/>
      <family val="2"/>
    </font>
    <font>
      <b/>
      <sz val="9"/>
      <color rgb="FFFFC000"/>
      <name val="Calibri"/>
      <family val="2"/>
    </font>
    <font>
      <b/>
      <sz val="9"/>
      <color theme="9" tint="-0.249977111117893"/>
      <name val="Calibri"/>
      <family val="2"/>
    </font>
    <font>
      <b/>
      <sz val="9"/>
      <color theme="0"/>
      <name val="Calibri"/>
      <family val="2"/>
    </font>
    <font>
      <b/>
      <sz val="9"/>
      <color rgb="FF000000"/>
      <name val="Calibri"/>
      <family val="2"/>
    </font>
    <font>
      <sz val="9"/>
      <color rgb="FF000000"/>
      <name val="Calibri"/>
      <family val="2"/>
    </font>
    <font>
      <b/>
      <sz val="9"/>
      <color rgb="FF00B050"/>
      <name val="Calibri"/>
      <family val="2"/>
    </font>
    <font>
      <sz val="9"/>
      <color theme="1"/>
      <name val="Calibri"/>
      <family val="2"/>
      <scheme val="minor"/>
    </font>
    <font>
      <sz val="9"/>
      <color rgb="FFC00000"/>
      <name val="Calibri"/>
      <family val="2"/>
    </font>
    <font>
      <sz val="9"/>
      <color rgb="FFFFC000"/>
      <name val="Calibri"/>
      <family val="2"/>
    </font>
    <font>
      <b/>
      <sz val="9"/>
      <color rgb="FF7030A0"/>
      <name val="Calibri"/>
      <family val="2"/>
    </font>
    <font>
      <b/>
      <sz val="9"/>
      <color theme="1"/>
      <name val="Calibri"/>
      <family val="2"/>
      <scheme val="minor"/>
    </font>
  </fonts>
  <fills count="1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CC00"/>
        <bgColor indexed="64"/>
      </patternFill>
    </fill>
    <fill>
      <patternFill patternType="solid">
        <fgColor theme="5" tint="0.59999389629810485"/>
        <bgColor rgb="FF000000"/>
      </patternFill>
    </fill>
    <fill>
      <patternFill patternType="solid">
        <fgColor theme="5" tint="0.79998168889431442"/>
        <bgColor rgb="FF000000"/>
      </patternFill>
    </fill>
    <fill>
      <patternFill patternType="solid">
        <fgColor theme="6" tint="0.39997558519241921"/>
        <bgColor rgb="FF000000"/>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89999084444715716"/>
        <bgColor indexed="64"/>
      </patternFill>
    </fill>
    <fill>
      <patternFill patternType="solid">
        <fgColor rgb="FF76A5AF"/>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115">
    <xf numFmtId="0" fontId="0" fillId="0" borderId="0" xfId="0"/>
    <xf numFmtId="0" fontId="0" fillId="2" borderId="0" xfId="0" applyFill="1"/>
    <xf numFmtId="0" fontId="3" fillId="0" borderId="0" xfId="0" applyFont="1"/>
    <xf numFmtId="0" fontId="3" fillId="0" borderId="0" xfId="0" applyFont="1" applyAlignment="1">
      <alignment horizontal="center" vertical="center" wrapText="1"/>
    </xf>
    <xf numFmtId="0" fontId="4" fillId="0" borderId="0" xfId="0" applyFont="1" applyAlignment="1">
      <alignment vertical="center"/>
    </xf>
    <xf numFmtId="0" fontId="4" fillId="0" borderId="0" xfId="0" applyFont="1"/>
    <xf numFmtId="0" fontId="6" fillId="0" borderId="0" xfId="0" applyFont="1" applyAlignment="1">
      <alignment vertical="center"/>
    </xf>
    <xf numFmtId="0" fontId="0" fillId="0" borderId="0" xfId="0" applyAlignment="1">
      <alignment vertical="center"/>
    </xf>
    <xf numFmtId="0" fontId="2" fillId="2" borderId="0" xfId="0" applyFont="1" applyFill="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top" wrapText="1"/>
    </xf>
    <xf numFmtId="0" fontId="4" fillId="0" borderId="0" xfId="0" applyFont="1" applyAlignment="1">
      <alignment horizontal="center"/>
    </xf>
    <xf numFmtId="0" fontId="4" fillId="2" borderId="0" xfId="0" applyFont="1" applyFill="1" applyAlignment="1">
      <alignment horizontal="center" vertical="center"/>
    </xf>
    <xf numFmtId="0" fontId="3" fillId="2" borderId="0" xfId="0" applyFont="1" applyFill="1"/>
    <xf numFmtId="0" fontId="5" fillId="0" borderId="0" xfId="0" applyFont="1" applyAlignment="1">
      <alignment vertical="center"/>
    </xf>
    <xf numFmtId="164" fontId="9" fillId="0" borderId="0" xfId="0" applyNumberFormat="1" applyFont="1" applyAlignment="1">
      <alignment horizontal="center"/>
    </xf>
    <xf numFmtId="164" fontId="9" fillId="2" borderId="0" xfId="0" applyNumberFormat="1" applyFont="1" applyFill="1" applyAlignment="1">
      <alignment horizontal="center" vertical="center"/>
    </xf>
    <xf numFmtId="164" fontId="10" fillId="3" borderId="9" xfId="0" applyNumberFormat="1" applyFont="1" applyFill="1" applyBorder="1" applyAlignment="1">
      <alignment horizontal="center" vertical="center"/>
    </xf>
    <xf numFmtId="16" fontId="9" fillId="9" borderId="1" xfId="0" applyNumberFormat="1" applyFont="1" applyFill="1" applyBorder="1" applyAlignment="1">
      <alignment horizontal="center" vertical="center" wrapText="1"/>
    </xf>
    <xf numFmtId="16" fontId="9" fillId="0" borderId="1" xfId="0" applyNumberFormat="1" applyFont="1" applyBorder="1" applyAlignment="1">
      <alignment horizontal="center" vertical="center" wrapText="1"/>
    </xf>
    <xf numFmtId="16" fontId="9" fillId="7" borderId="1" xfId="0" applyNumberFormat="1" applyFont="1" applyFill="1" applyBorder="1" applyAlignment="1">
      <alignment horizontal="center" vertical="center" wrapText="1"/>
    </xf>
    <xf numFmtId="164" fontId="9" fillId="0" borderId="0" xfId="0" applyNumberFormat="1" applyFont="1" applyAlignment="1">
      <alignment horizontal="center" vertical="center" wrapText="1"/>
    </xf>
    <xf numFmtId="164" fontId="9" fillId="0" borderId="0" xfId="0" applyNumberFormat="1" applyFont="1" applyAlignment="1">
      <alignment horizontal="center" vertical="center"/>
    </xf>
    <xf numFmtId="164" fontId="9" fillId="0" borderId="0" xfId="0" applyNumberFormat="1" applyFont="1" applyAlignment="1">
      <alignment horizontal="center" vertical="top" wrapText="1"/>
    </xf>
    <xf numFmtId="164" fontId="8" fillId="0" borderId="0" xfId="0" applyNumberFormat="1" applyFont="1" applyAlignment="1">
      <alignment horizontal="center" vertical="center" wrapText="1"/>
    </xf>
    <xf numFmtId="0" fontId="9" fillId="0" borderId="1" xfId="0" applyFont="1" applyBorder="1" applyAlignment="1">
      <alignment horizontal="center" vertical="center" wrapText="1"/>
    </xf>
    <xf numFmtId="0" fontId="9" fillId="7"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3" fillId="5" borderId="8"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11" xfId="0" applyFont="1" applyFill="1" applyBorder="1" applyAlignment="1">
      <alignment horizontal="center" vertical="center" wrapText="1"/>
    </xf>
    <xf numFmtId="16" fontId="9" fillId="0" borderId="12" xfId="0" applyNumberFormat="1" applyFont="1" applyBorder="1" applyAlignment="1">
      <alignment horizontal="center" vertical="center" wrapText="1"/>
    </xf>
    <xf numFmtId="0" fontId="9" fillId="0" borderId="12" xfId="0" applyFont="1" applyBorder="1" applyAlignment="1">
      <alignment horizontal="center" vertical="center" wrapText="1"/>
    </xf>
    <xf numFmtId="0" fontId="8" fillId="7" borderId="13" xfId="0" applyFont="1" applyFill="1" applyBorder="1" applyAlignment="1">
      <alignment horizontal="center" vertical="center" wrapText="1"/>
    </xf>
    <xf numFmtId="0" fontId="9" fillId="9" borderId="14" xfId="0" applyFont="1" applyFill="1" applyBorder="1" applyAlignment="1">
      <alignment vertical="center"/>
    </xf>
    <xf numFmtId="0" fontId="9" fillId="7" borderId="14" xfId="0" applyFont="1" applyFill="1" applyBorder="1" applyAlignment="1">
      <alignment horizontal="center" vertical="center" wrapText="1"/>
    </xf>
    <xf numFmtId="0" fontId="9" fillId="7" borderId="14" xfId="0" applyFont="1" applyFill="1" applyBorder="1" applyAlignment="1">
      <alignment horizontal="center" vertical="center"/>
    </xf>
    <xf numFmtId="0" fontId="13" fillId="4" borderId="15" xfId="0" applyFont="1" applyFill="1" applyBorder="1" applyAlignment="1">
      <alignment horizontal="center" vertical="center" wrapText="1"/>
    </xf>
    <xf numFmtId="0" fontId="9" fillId="0" borderId="1" xfId="0" applyFont="1" applyBorder="1" applyAlignment="1">
      <alignment vertical="center"/>
    </xf>
    <xf numFmtId="0" fontId="9" fillId="9" borderId="14" xfId="0" applyFont="1" applyFill="1" applyBorder="1" applyAlignment="1">
      <alignment horizontal="center" vertical="center" wrapText="1"/>
    </xf>
    <xf numFmtId="0" fontId="9" fillId="0" borderId="18" xfId="0" applyFont="1" applyBorder="1" applyAlignment="1">
      <alignment horizontal="center" vertical="center" wrapText="1"/>
    </xf>
    <xf numFmtId="0" fontId="9" fillId="0" borderId="14" xfId="0" applyFont="1" applyBorder="1" applyAlignment="1">
      <alignment horizontal="center" vertical="center" wrapText="1"/>
    </xf>
    <xf numFmtId="0" fontId="13" fillId="6" borderId="15" xfId="0" applyFont="1" applyFill="1" applyBorder="1" applyAlignment="1">
      <alignment horizontal="center" vertical="center" wrapText="1"/>
    </xf>
    <xf numFmtId="16" fontId="9" fillId="8" borderId="16" xfId="0" applyNumberFormat="1"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16" fontId="9" fillId="10"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0" fontId="9" fillId="10" borderId="14"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0" borderId="14" xfId="0" applyFont="1" applyFill="1" applyBorder="1" applyAlignment="1">
      <alignment horizontal="center" vertical="center" wrapText="1"/>
    </xf>
    <xf numFmtId="16" fontId="9" fillId="11" borderId="1" xfId="0" applyNumberFormat="1" applyFont="1" applyFill="1" applyBorder="1" applyAlignment="1">
      <alignment horizontal="center" vertical="center" wrapText="1"/>
    </xf>
    <xf numFmtId="0" fontId="11"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1" borderId="14" xfId="0" applyFont="1" applyFill="1" applyBorder="1" applyAlignment="1">
      <alignment horizontal="center" vertical="center" wrapText="1"/>
    </xf>
    <xf numFmtId="0" fontId="0" fillId="12" borderId="0" xfId="0" applyFill="1"/>
    <xf numFmtId="0" fontId="14" fillId="13" borderId="22" xfId="0" applyFont="1" applyFill="1" applyBorder="1" applyAlignment="1">
      <alignment horizontal="center" vertical="center" wrapText="1"/>
    </xf>
    <xf numFmtId="0" fontId="14" fillId="14" borderId="22" xfId="0" applyFont="1" applyFill="1" applyBorder="1" applyAlignment="1">
      <alignment horizontal="center" vertical="center" wrapText="1"/>
    </xf>
    <xf numFmtId="0" fontId="16" fillId="13" borderId="23" xfId="0" applyFont="1" applyFill="1" applyBorder="1" applyAlignment="1">
      <alignment horizontal="center" vertical="center" wrapText="1"/>
    </xf>
    <xf numFmtId="0" fontId="17" fillId="13" borderId="24"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8" fillId="13" borderId="2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9" fillId="13" borderId="1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12" borderId="0" xfId="0" applyFill="1" applyAlignment="1">
      <alignment vertical="center"/>
    </xf>
    <xf numFmtId="0" fontId="0" fillId="12" borderId="0" xfId="0" applyFill="1" applyAlignment="1">
      <alignment horizontal="center" vertical="center"/>
    </xf>
    <xf numFmtId="0" fontId="21" fillId="15" borderId="26" xfId="0" applyFont="1" applyFill="1" applyBorder="1" applyAlignment="1">
      <alignment horizontal="center" vertical="center" wrapText="1"/>
    </xf>
    <xf numFmtId="0" fontId="21" fillId="15" borderId="25" xfId="0" applyFont="1" applyFill="1" applyBorder="1" applyAlignment="1">
      <alignment horizontal="center" vertical="center" wrapText="1"/>
    </xf>
    <xf numFmtId="0" fontId="24" fillId="15"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5" fillId="15"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5" borderId="2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5" borderId="1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5" borderId="25" xfId="0" applyFont="1" applyFill="1" applyBorder="1" applyAlignment="1">
      <alignment horizontal="center" vertical="center" wrapText="1"/>
    </xf>
    <xf numFmtId="0" fontId="20" fillId="15" borderId="26" xfId="0" applyFont="1" applyFill="1" applyBorder="1" applyAlignment="1">
      <alignment horizontal="center" vertical="center" wrapText="1"/>
    </xf>
    <xf numFmtId="0" fontId="23" fillId="12" borderId="28" xfId="0" applyFont="1" applyFill="1" applyBorder="1"/>
    <xf numFmtId="0" fontId="23" fillId="12" borderId="0" xfId="0" applyFont="1" applyFill="1"/>
    <xf numFmtId="0" fontId="23" fillId="12" borderId="0" xfId="0" applyFont="1" applyFill="1" applyAlignment="1">
      <alignment horizontal="center"/>
    </xf>
    <xf numFmtId="0" fontId="27" fillId="16" borderId="1" xfId="0" applyFont="1" applyFill="1" applyBorder="1" applyAlignment="1">
      <alignment horizontal="center" vertical="center"/>
    </xf>
    <xf numFmtId="0" fontId="27" fillId="15" borderId="1" xfId="0" applyFont="1" applyFill="1" applyBorder="1" applyAlignment="1">
      <alignment horizontal="center" vertical="center"/>
    </xf>
    <xf numFmtId="0" fontId="0" fillId="12" borderId="0" xfId="0" applyFill="1" applyAlignment="1">
      <alignment horizontal="center"/>
    </xf>
    <xf numFmtId="0" fontId="14" fillId="17" borderId="19" xfId="0" applyFont="1" applyFill="1" applyBorder="1" applyAlignment="1">
      <alignment horizontal="right" vertical="center" wrapText="1"/>
    </xf>
    <xf numFmtId="0" fontId="15" fillId="17" borderId="20" xfId="0" applyFont="1" applyFill="1" applyBorder="1" applyAlignment="1">
      <alignment vertical="center" wrapText="1"/>
    </xf>
    <xf numFmtId="0" fontId="15" fillId="17" borderId="21" xfId="0" applyFont="1" applyFill="1" applyBorder="1" applyAlignment="1">
      <alignment vertical="center" wrapText="1"/>
    </xf>
    <xf numFmtId="0" fontId="21" fillId="18" borderId="26" xfId="0" applyFont="1" applyFill="1" applyBorder="1" applyAlignment="1">
      <alignment horizontal="center" vertical="center" wrapText="1"/>
    </xf>
    <xf numFmtId="0" fontId="20" fillId="18" borderId="24" xfId="0" applyFont="1" applyFill="1" applyBorder="1" applyAlignment="1">
      <alignment horizontal="center" vertical="center" wrapText="1"/>
    </xf>
    <xf numFmtId="0" fontId="22" fillId="18" borderId="25" xfId="0" applyFont="1" applyFill="1" applyBorder="1" applyAlignment="1">
      <alignment horizontal="center" vertical="center" wrapText="1"/>
    </xf>
    <xf numFmtId="0" fontId="24" fillId="18"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5" fillId="18" borderId="2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2" fillId="18" borderId="23"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0" fillId="18" borderId="25" xfId="0" applyFont="1" applyFill="1" applyBorder="1" applyAlignment="1">
      <alignment horizontal="center" vertical="center" wrapText="1"/>
    </xf>
    <xf numFmtId="0" fontId="22" fillId="18" borderId="1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1" fillId="18" borderId="24" xfId="0" applyFont="1" applyFill="1" applyBorder="1" applyAlignment="1">
      <alignment horizontal="center" vertical="center" wrapText="1"/>
    </xf>
    <xf numFmtId="0" fontId="22" fillId="18" borderId="23" xfId="0" applyFont="1" applyFill="1" applyBorder="1" applyAlignment="1">
      <alignment horizontal="center" vertical="center" wrapText="1"/>
    </xf>
    <xf numFmtId="0" fontId="21" fillId="18" borderId="23" xfId="0" applyFont="1" applyFill="1" applyBorder="1" applyAlignment="1">
      <alignment horizontal="center" vertical="center" wrapText="1"/>
    </xf>
    <xf numFmtId="0" fontId="21" fillId="18" borderId="25" xfId="0" applyFont="1" applyFill="1" applyBorder="1" applyAlignment="1">
      <alignment horizontal="center" vertical="center" wrapText="1"/>
    </xf>
    <xf numFmtId="0" fontId="20" fillId="18" borderId="25" xfId="0" applyFont="1" applyFill="1" applyBorder="1" applyAlignment="1">
      <alignment horizontal="left" vertical="center" wrapText="1"/>
    </xf>
    <xf numFmtId="0" fontId="20" fillId="18" borderId="12" xfId="0" applyFont="1" applyFill="1" applyBorder="1" applyAlignment="1">
      <alignment horizontal="left" vertical="center" wrapText="1"/>
    </xf>
    <xf numFmtId="0" fontId="23" fillId="18" borderId="1" xfId="0" applyFont="1" applyFill="1" applyBorder="1" applyAlignment="1">
      <alignment horizontal="center" vertical="center"/>
    </xf>
    <xf numFmtId="0" fontId="23" fillId="18" borderId="1" xfId="0" applyFont="1" applyFill="1" applyBorder="1" applyAlignment="1">
      <alignment horizontal="left" vertical="center"/>
    </xf>
    <xf numFmtId="0" fontId="20" fillId="15" borderId="25" xfId="0" applyFont="1" applyFill="1" applyBorder="1" applyAlignment="1">
      <alignment horizontal="left" vertical="center" wrapText="1"/>
    </xf>
    <xf numFmtId="0" fontId="20" fillId="15" borderId="12" xfId="0" applyFont="1" applyFill="1" applyBorder="1" applyAlignment="1">
      <alignment horizontal="left" vertical="center" wrapText="1"/>
    </xf>
    <xf numFmtId="0" fontId="23" fillId="15" borderId="1" xfId="0" applyFont="1" applyFill="1" applyBorder="1" applyAlignment="1">
      <alignment horizontal="center" vertical="center"/>
    </xf>
    <xf numFmtId="0" fontId="23" fillId="15" borderId="1" xfId="0" applyFont="1" applyFill="1" applyBorder="1" applyAlignment="1">
      <alignment horizontal="left" vertical="center"/>
    </xf>
    <xf numFmtId="0" fontId="15" fillId="17" borderId="20" xfId="0" applyFont="1" applyFill="1" applyBorder="1" applyAlignment="1">
      <alignment horizontal="left" vertical="center" wrapText="1"/>
    </xf>
    <xf numFmtId="0" fontId="15" fillId="17" borderId="21" xfId="0" applyFont="1" applyFill="1" applyBorder="1" applyAlignment="1">
      <alignment horizontal="left"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cellXfs>
  <cellStyles count="2">
    <cellStyle name="Normal" xfId="0" builtinId="0"/>
    <cellStyle name="Standaard 2" xfId="1" xr:uid="{6C061828-7177-4371-B359-8DC09589D478}"/>
  </cellStyles>
  <dxfs count="3">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1</xdr:col>
      <xdr:colOff>147205</xdr:colOff>
      <xdr:row>1</xdr:row>
      <xdr:rowOff>95250</xdr:rowOff>
    </xdr:from>
    <xdr:to>
      <xdr:col>3</xdr:col>
      <xdr:colOff>172994</xdr:colOff>
      <xdr:row>2</xdr:row>
      <xdr:rowOff>111973</xdr:rowOff>
    </xdr:to>
    <xdr:pic>
      <xdr:nvPicPr>
        <xdr:cNvPr id="9" name="logo_first_pag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5155" y="177800"/>
          <a:ext cx="861483" cy="32152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opLeftCell="A5" zoomScale="220" zoomScaleNormal="220" workbookViewId="0">
      <selection activeCell="A5" sqref="A5"/>
    </sheetView>
  </sheetViews>
  <sheetFormatPr defaultColWidth="9.1796875" defaultRowHeight="12.5" x14ac:dyDescent="0.25"/>
  <cols>
    <col min="1" max="1" width="1.54296875" customWidth="1"/>
    <col min="2" max="2" width="6.1796875" customWidth="1"/>
    <col min="3" max="3" width="5.7265625" style="15" customWidth="1"/>
    <col min="4" max="4" width="16.1796875" style="11" customWidth="1"/>
    <col min="5" max="5" width="5.7265625" style="15" customWidth="1"/>
    <col min="6" max="6" width="8.26953125" style="11" customWidth="1"/>
    <col min="7" max="7" width="5.7265625" style="15" customWidth="1"/>
    <col min="8" max="8" width="8.26953125" style="11" customWidth="1"/>
    <col min="9" max="9" width="5.7265625" style="15" customWidth="1"/>
    <col min="10" max="10" width="14.81640625" style="11" customWidth="1"/>
    <col min="11" max="11" width="5.7265625" style="15" customWidth="1"/>
    <col min="12" max="12" width="17.7265625" style="11" customWidth="1"/>
    <col min="13" max="13" width="1.7265625" customWidth="1"/>
    <col min="14" max="16" width="10.1796875" bestFit="1" customWidth="1"/>
    <col min="17" max="17" width="47.7265625" customWidth="1"/>
    <col min="18" max="20" width="10.1796875" bestFit="1" customWidth="1"/>
  </cols>
  <sheetData>
    <row r="1" spans="1:14" ht="6.75" customHeight="1" thickBot="1" x14ac:dyDescent="0.3"/>
    <row r="2" spans="1:14" ht="24.65" customHeight="1" x14ac:dyDescent="0.25">
      <c r="A2" s="1"/>
      <c r="B2" s="109" t="s">
        <v>0</v>
      </c>
      <c r="C2" s="110"/>
      <c r="D2" s="110"/>
      <c r="E2" s="110"/>
      <c r="F2" s="110"/>
      <c r="G2" s="110"/>
      <c r="H2" s="110"/>
      <c r="I2" s="110"/>
      <c r="J2" s="110"/>
      <c r="K2" s="110"/>
      <c r="L2" s="111"/>
    </row>
    <row r="3" spans="1:14" ht="16.5" customHeight="1" thickBot="1" x14ac:dyDescent="0.3">
      <c r="A3" s="1"/>
      <c r="B3" s="112"/>
      <c r="C3" s="113"/>
      <c r="D3" s="113"/>
      <c r="E3" s="113"/>
      <c r="F3" s="113"/>
      <c r="G3" s="113"/>
      <c r="H3" s="113"/>
      <c r="I3" s="113"/>
      <c r="J3" s="113"/>
      <c r="K3" s="113"/>
      <c r="L3" s="114"/>
    </row>
    <row r="4" spans="1:14" ht="13.5" thickBot="1" x14ac:dyDescent="0.3">
      <c r="A4" s="1"/>
      <c r="B4" s="8" t="s">
        <v>1</v>
      </c>
      <c r="C4" s="16"/>
      <c r="D4" s="12"/>
      <c r="E4" s="16"/>
      <c r="F4" s="12"/>
      <c r="G4" s="16"/>
      <c r="H4" s="12"/>
      <c r="I4" s="16"/>
      <c r="J4" s="12"/>
      <c r="K4" s="16"/>
      <c r="L4" s="12"/>
    </row>
    <row r="5" spans="1:14" s="2" customFormat="1" ht="9" x14ac:dyDescent="0.2">
      <c r="A5" s="13"/>
      <c r="B5" s="38" t="s">
        <v>2</v>
      </c>
      <c r="C5" s="17" t="s">
        <v>3</v>
      </c>
      <c r="D5" s="28" t="s">
        <v>4</v>
      </c>
      <c r="E5" s="17" t="s">
        <v>3</v>
      </c>
      <c r="F5" s="28" t="s">
        <v>5</v>
      </c>
      <c r="G5" s="17" t="s">
        <v>3</v>
      </c>
      <c r="H5" s="28" t="s">
        <v>6</v>
      </c>
      <c r="I5" s="17" t="s">
        <v>3</v>
      </c>
      <c r="J5" s="28" t="s">
        <v>7</v>
      </c>
      <c r="K5" s="17" t="s">
        <v>3</v>
      </c>
      <c r="L5" s="29" t="s">
        <v>8</v>
      </c>
    </row>
    <row r="6" spans="1:14" s="2" customFormat="1" ht="9" x14ac:dyDescent="0.2">
      <c r="A6" s="13"/>
      <c r="B6" s="30">
        <v>10</v>
      </c>
      <c r="C6" s="18">
        <v>46125</v>
      </c>
      <c r="D6" s="31" t="s">
        <v>9</v>
      </c>
      <c r="E6" s="18">
        <v>46125</v>
      </c>
      <c r="F6" s="32"/>
      <c r="G6" s="18">
        <v>46126</v>
      </c>
      <c r="H6" s="33"/>
      <c r="I6" s="18">
        <v>46127</v>
      </c>
      <c r="J6" s="32"/>
      <c r="K6" s="18">
        <v>46128</v>
      </c>
      <c r="L6" s="39"/>
    </row>
    <row r="7" spans="1:14" s="2" customFormat="1" ht="24.75" customHeight="1" x14ac:dyDescent="0.2">
      <c r="A7" s="13"/>
      <c r="B7" s="30">
        <v>1</v>
      </c>
      <c r="C7" s="51">
        <v>46132</v>
      </c>
      <c r="D7" s="52" t="s">
        <v>15</v>
      </c>
      <c r="E7" s="19">
        <v>46133</v>
      </c>
      <c r="F7" s="25"/>
      <c r="G7" s="19">
        <v>46134</v>
      </c>
      <c r="H7" s="25"/>
      <c r="I7" s="51">
        <v>46135</v>
      </c>
      <c r="J7" s="52" t="s">
        <v>16</v>
      </c>
      <c r="K7" s="51">
        <v>46136</v>
      </c>
      <c r="L7" s="53" t="s">
        <v>31</v>
      </c>
    </row>
    <row r="8" spans="1:14" s="2" customFormat="1" ht="24.75" customHeight="1" x14ac:dyDescent="0.2">
      <c r="A8" s="13"/>
      <c r="B8" s="34"/>
      <c r="C8" s="20">
        <v>46139</v>
      </c>
      <c r="D8" s="26" t="s">
        <v>10</v>
      </c>
      <c r="E8" s="20">
        <v>46140</v>
      </c>
      <c r="F8" s="26"/>
      <c r="G8" s="20">
        <v>46141</v>
      </c>
      <c r="H8" s="26"/>
      <c r="I8" s="20">
        <v>46142</v>
      </c>
      <c r="J8" s="26"/>
      <c r="K8" s="20">
        <v>46143</v>
      </c>
      <c r="L8" s="40"/>
    </row>
    <row r="9" spans="1:14" s="2" customFormat="1" ht="24.75" customHeight="1" x14ac:dyDescent="0.2">
      <c r="A9" s="13"/>
      <c r="B9" s="34"/>
      <c r="C9" s="20">
        <v>46146</v>
      </c>
      <c r="D9" s="26"/>
      <c r="E9" s="20">
        <v>46147</v>
      </c>
      <c r="F9" s="26"/>
      <c r="G9" s="20">
        <v>46148</v>
      </c>
      <c r="H9" s="26"/>
      <c r="I9" s="20">
        <v>46149</v>
      </c>
      <c r="J9" s="26"/>
      <c r="K9" s="20">
        <v>46150</v>
      </c>
      <c r="L9" s="40"/>
      <c r="N9" s="14"/>
    </row>
    <row r="10" spans="1:14" s="2" customFormat="1" ht="24.75" customHeight="1" x14ac:dyDescent="0.2">
      <c r="B10" s="34">
        <v>2</v>
      </c>
      <c r="C10" s="57">
        <v>46153</v>
      </c>
      <c r="D10" s="58" t="s">
        <v>24</v>
      </c>
      <c r="E10" s="19">
        <v>46154</v>
      </c>
      <c r="F10" s="25"/>
      <c r="G10" s="19">
        <v>46155</v>
      </c>
      <c r="H10" s="25"/>
      <c r="I10" s="20">
        <v>46156</v>
      </c>
      <c r="J10" s="27" t="s">
        <v>11</v>
      </c>
      <c r="K10" s="20">
        <v>46157</v>
      </c>
      <c r="L10" s="41" t="s">
        <v>12</v>
      </c>
    </row>
    <row r="11" spans="1:14" s="2" customFormat="1" ht="24.75" customHeight="1" x14ac:dyDescent="0.2">
      <c r="A11" s="13"/>
      <c r="B11" s="34">
        <v>3</v>
      </c>
      <c r="C11" s="57">
        <v>46160</v>
      </c>
      <c r="D11" s="59" t="s">
        <v>20</v>
      </c>
      <c r="E11" s="19">
        <v>46161</v>
      </c>
      <c r="F11" s="25"/>
      <c r="G11" s="19">
        <v>46162</v>
      </c>
      <c r="H11" s="25"/>
      <c r="I11" s="57">
        <v>46163</v>
      </c>
      <c r="J11" s="59" t="s">
        <v>21</v>
      </c>
      <c r="K11" s="57">
        <v>46164</v>
      </c>
      <c r="L11" s="60" t="s">
        <v>22</v>
      </c>
    </row>
    <row r="12" spans="1:14" s="2" customFormat="1" ht="24.75" customHeight="1" x14ac:dyDescent="0.2">
      <c r="A12" s="13"/>
      <c r="B12" s="34">
        <v>4</v>
      </c>
      <c r="C12" s="20">
        <v>46167</v>
      </c>
      <c r="D12" s="26" t="s">
        <v>13</v>
      </c>
      <c r="E12" s="19">
        <v>46168</v>
      </c>
      <c r="F12" s="25"/>
      <c r="G12" s="19">
        <v>46169</v>
      </c>
      <c r="H12" s="25"/>
      <c r="I12" s="51">
        <v>46170</v>
      </c>
      <c r="J12" s="54" t="s">
        <v>25</v>
      </c>
      <c r="K12" s="51">
        <v>46171</v>
      </c>
      <c r="L12" s="53" t="s">
        <v>26</v>
      </c>
    </row>
    <row r="13" spans="1:14" s="2" customFormat="1" ht="24.75" customHeight="1" x14ac:dyDescent="0.2">
      <c r="A13" s="13"/>
      <c r="B13" s="34">
        <v>5</v>
      </c>
      <c r="C13" s="51">
        <v>46174</v>
      </c>
      <c r="D13" s="54" t="s">
        <v>17</v>
      </c>
      <c r="E13" s="19">
        <v>46175</v>
      </c>
      <c r="F13" s="43"/>
      <c r="G13" s="19">
        <v>46176</v>
      </c>
      <c r="H13" s="25"/>
      <c r="I13" s="51">
        <v>46177</v>
      </c>
      <c r="J13" s="55" t="s">
        <v>27</v>
      </c>
      <c r="K13" s="51">
        <v>46178</v>
      </c>
      <c r="L13" s="56" t="s">
        <v>23</v>
      </c>
    </row>
    <row r="14" spans="1:14" s="2" customFormat="1" ht="24.75" customHeight="1" x14ac:dyDescent="0.2">
      <c r="A14" s="13"/>
      <c r="B14" s="34">
        <v>6</v>
      </c>
      <c r="C14" s="51">
        <v>46181</v>
      </c>
      <c r="D14" s="54" t="s">
        <v>29</v>
      </c>
      <c r="E14" s="19">
        <v>46182</v>
      </c>
      <c r="F14" s="25"/>
      <c r="G14" s="19">
        <v>46183</v>
      </c>
      <c r="H14" s="25"/>
      <c r="I14" s="51">
        <v>46184</v>
      </c>
      <c r="J14" s="54" t="s">
        <v>28</v>
      </c>
      <c r="K14" s="51">
        <v>46185</v>
      </c>
      <c r="L14" s="56" t="s">
        <v>30</v>
      </c>
    </row>
    <row r="15" spans="1:14" s="2" customFormat="1" ht="24.75" customHeight="1" x14ac:dyDescent="0.2">
      <c r="A15" s="13"/>
      <c r="B15" s="34">
        <v>7</v>
      </c>
      <c r="C15" s="51">
        <v>46188</v>
      </c>
      <c r="D15" s="55" t="s">
        <v>32</v>
      </c>
      <c r="E15" s="19">
        <v>46189</v>
      </c>
      <c r="F15" s="25"/>
      <c r="G15" s="19">
        <v>46190</v>
      </c>
      <c r="H15" s="25"/>
      <c r="I15" s="51">
        <v>46191</v>
      </c>
      <c r="J15" s="54" t="s">
        <v>18</v>
      </c>
      <c r="K15" s="51">
        <v>46192</v>
      </c>
      <c r="L15" s="53" t="s">
        <v>19</v>
      </c>
    </row>
    <row r="16" spans="1:14" s="2" customFormat="1" ht="9.5" thickBot="1" x14ac:dyDescent="0.25">
      <c r="A16" s="13"/>
      <c r="B16" s="42">
        <v>8</v>
      </c>
      <c r="C16" s="18">
        <v>46195</v>
      </c>
      <c r="D16" s="31" t="s">
        <v>9</v>
      </c>
      <c r="E16" s="18">
        <v>46196</v>
      </c>
      <c r="F16" s="32"/>
      <c r="G16" s="18">
        <v>46197</v>
      </c>
      <c r="H16" s="32"/>
      <c r="I16" s="18">
        <v>46198</v>
      </c>
      <c r="J16" s="32"/>
      <c r="K16" s="18">
        <v>46199</v>
      </c>
      <c r="L16" s="44"/>
      <c r="N16" s="14"/>
    </row>
    <row r="17" spans="1:13" s="2" customFormat="1" ht="9" x14ac:dyDescent="0.2">
      <c r="A17" s="13"/>
      <c r="B17" s="35">
        <v>9</v>
      </c>
      <c r="C17" s="36">
        <v>46202</v>
      </c>
      <c r="D17" s="37"/>
      <c r="E17" s="36">
        <v>46203</v>
      </c>
      <c r="F17" s="37"/>
      <c r="G17" s="36">
        <v>46204</v>
      </c>
      <c r="H17" s="37"/>
      <c r="I17" s="36">
        <v>46205</v>
      </c>
      <c r="J17" s="37"/>
      <c r="K17" s="36">
        <v>46206</v>
      </c>
      <c r="L17" s="45"/>
    </row>
    <row r="18" spans="1:13" s="2" customFormat="1" ht="9" x14ac:dyDescent="0.2">
      <c r="B18" s="34">
        <v>10</v>
      </c>
      <c r="C18" s="19">
        <v>46209</v>
      </c>
      <c r="D18" s="25"/>
      <c r="E18" s="19">
        <v>46210</v>
      </c>
      <c r="F18" s="25"/>
      <c r="G18" s="19">
        <v>46211</v>
      </c>
      <c r="H18" s="25"/>
      <c r="I18" s="19">
        <v>46212</v>
      </c>
      <c r="J18" s="25"/>
      <c r="K18" s="19">
        <v>46213</v>
      </c>
      <c r="L18" s="46"/>
    </row>
    <row r="19" spans="1:13" s="2" customFormat="1" ht="9.5" thickBot="1" x14ac:dyDescent="0.25">
      <c r="A19" s="13"/>
      <c r="B19" s="47">
        <f t="shared" ref="B19" si="0">B18+1</f>
        <v>11</v>
      </c>
      <c r="C19" s="48">
        <v>46216</v>
      </c>
      <c r="D19" s="49" t="s">
        <v>14</v>
      </c>
      <c r="E19" s="48">
        <v>46217</v>
      </c>
      <c r="F19" s="49" t="s">
        <v>14</v>
      </c>
      <c r="G19" s="48">
        <v>46218</v>
      </c>
      <c r="H19" s="49" t="s">
        <v>14</v>
      </c>
      <c r="I19" s="48">
        <v>46219</v>
      </c>
      <c r="J19" s="49" t="s">
        <v>14</v>
      </c>
      <c r="K19" s="48">
        <v>46220</v>
      </c>
      <c r="L19" s="50" t="s">
        <v>14</v>
      </c>
    </row>
    <row r="20" spans="1:13" ht="12.75" customHeight="1" x14ac:dyDescent="0.25">
      <c r="A20" s="2"/>
      <c r="B20" s="3"/>
      <c r="C20" s="21"/>
      <c r="D20" s="9"/>
      <c r="E20" s="21"/>
      <c r="F20" s="9"/>
      <c r="G20" s="21"/>
      <c r="H20" s="9"/>
      <c r="I20" s="24"/>
      <c r="J20" s="9"/>
      <c r="K20" s="21"/>
      <c r="L20" s="9"/>
    </row>
    <row r="21" spans="1:13" x14ac:dyDescent="0.25">
      <c r="B21" s="4"/>
      <c r="D21" s="10"/>
      <c r="E21" s="23"/>
      <c r="F21" s="10"/>
      <c r="G21" s="23"/>
      <c r="H21" s="10"/>
      <c r="I21" s="23"/>
      <c r="J21" s="10"/>
      <c r="K21" s="23"/>
      <c r="L21" s="10"/>
      <c r="M21" s="5"/>
    </row>
    <row r="22" spans="1:13" s="7" customFormat="1" x14ac:dyDescent="0.25">
      <c r="B22" s="4"/>
      <c r="C22" s="22"/>
      <c r="D22" s="9"/>
      <c r="E22" s="21"/>
      <c r="F22" s="9"/>
      <c r="G22" s="21"/>
      <c r="H22" s="9"/>
      <c r="I22" s="21"/>
      <c r="J22" s="9"/>
      <c r="K22" s="21"/>
      <c r="L22" s="9"/>
    </row>
    <row r="23" spans="1:13" ht="14.5" x14ac:dyDescent="0.25">
      <c r="B23" s="6"/>
      <c r="D23" s="10"/>
      <c r="E23" s="23"/>
      <c r="F23" s="10"/>
      <c r="G23" s="23"/>
      <c r="H23" s="10"/>
      <c r="I23" s="23"/>
      <c r="J23" s="10"/>
      <c r="K23" s="23"/>
      <c r="L23" s="10"/>
    </row>
  </sheetData>
  <mergeCells count="1">
    <mergeCell ref="B2:L3"/>
  </mergeCells>
  <phoneticPr fontId="4" type="noConversion"/>
  <printOptions horizontalCentered="1" verticalCentered="1" gridLines="1"/>
  <pageMargins left="0.23622047244094491" right="0.23622047244094491" top="0.74803149606299213" bottom="0.74803149606299213" header="0.31496062992125984" footer="0.31496062992125984"/>
  <pageSetup paperSize="9" scale="125" fitToWidth="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09FD-D214-4052-8430-999078FE1549}">
  <dimension ref="B2:H26"/>
  <sheetViews>
    <sheetView tabSelected="1" topLeftCell="D1" zoomScale="130" zoomScaleNormal="130" workbookViewId="0">
      <selection activeCell="H10" sqref="H10:H11"/>
    </sheetView>
  </sheetViews>
  <sheetFormatPr defaultColWidth="8.7265625" defaultRowHeight="12.5" x14ac:dyDescent="0.25"/>
  <cols>
    <col min="1" max="1" width="2.453125" style="61" customWidth="1"/>
    <col min="2" max="2" width="17.54296875" style="61" bestFit="1" customWidth="1"/>
    <col min="3" max="3" width="10.81640625" style="61" hidden="1" customWidth="1"/>
    <col min="4" max="4" width="38.81640625" style="83" customWidth="1"/>
    <col min="5" max="5" width="42.7265625" style="83" customWidth="1"/>
    <col min="6" max="6" width="43.26953125" style="83" customWidth="1"/>
    <col min="7" max="7" width="6.54296875" style="61" customWidth="1"/>
    <col min="8" max="8" width="56.1796875" style="61" customWidth="1"/>
    <col min="9" max="16384" width="8.7265625" style="61"/>
  </cols>
  <sheetData>
    <row r="2" spans="2:8" ht="14.15" customHeight="1" x14ac:dyDescent="0.25">
      <c r="B2" s="84" t="s">
        <v>33</v>
      </c>
      <c r="C2" s="107" t="s">
        <v>82</v>
      </c>
      <c r="D2" s="108"/>
      <c r="E2" s="84" t="s">
        <v>34</v>
      </c>
      <c r="F2" s="85" t="s">
        <v>82</v>
      </c>
      <c r="G2" s="85"/>
      <c r="H2" s="86"/>
    </row>
    <row r="3" spans="2:8" x14ac:dyDescent="0.25">
      <c r="B3" s="62" t="s">
        <v>35</v>
      </c>
      <c r="C3" s="63" t="s">
        <v>36</v>
      </c>
      <c r="D3" s="64" t="s">
        <v>37</v>
      </c>
      <c r="E3" s="65" t="s">
        <v>38</v>
      </c>
      <c r="F3" s="66" t="s">
        <v>39</v>
      </c>
      <c r="G3" s="67" t="s">
        <v>40</v>
      </c>
      <c r="H3" s="67" t="s">
        <v>41</v>
      </c>
    </row>
    <row r="4" spans="2:8" s="68" customFormat="1" ht="24" x14ac:dyDescent="0.25">
      <c r="B4" s="99" t="s">
        <v>42</v>
      </c>
      <c r="C4" s="87" t="s">
        <v>36</v>
      </c>
      <c r="D4" s="88" t="s">
        <v>43</v>
      </c>
      <c r="E4" s="88" t="s">
        <v>44</v>
      </c>
      <c r="F4" s="89" t="s">
        <v>45</v>
      </c>
      <c r="G4" s="101">
        <f>IF(C5=TRUE,0,IF(D5=TRUE,1,IF(E5=TRUE,2,IF(F5=TRUE,3,"leeg"))))</f>
        <v>2</v>
      </c>
      <c r="H4" s="102" t="s">
        <v>84</v>
      </c>
    </row>
    <row r="5" spans="2:8" s="69" customFormat="1" x14ac:dyDescent="0.25">
      <c r="B5" s="100"/>
      <c r="C5" s="90" t="b">
        <v>0</v>
      </c>
      <c r="D5" s="90" t="b">
        <v>0</v>
      </c>
      <c r="E5" s="91" t="b">
        <v>1</v>
      </c>
      <c r="F5" s="92" t="b">
        <v>0</v>
      </c>
      <c r="G5" s="101"/>
      <c r="H5" s="102"/>
    </row>
    <row r="6" spans="2:8" s="68" customFormat="1" ht="15" customHeight="1" x14ac:dyDescent="0.25">
      <c r="B6" s="103" t="s">
        <v>46</v>
      </c>
      <c r="C6" s="70" t="s">
        <v>36</v>
      </c>
      <c r="D6" s="70" t="s">
        <v>47</v>
      </c>
      <c r="E6" s="70" t="s">
        <v>48</v>
      </c>
      <c r="F6" s="71" t="s">
        <v>49</v>
      </c>
      <c r="G6" s="105">
        <f t="shared" ref="G6" si="0">IF(C7=TRUE,0,IF(D7=TRUE,1,IF(E7=TRUE,2,IF(F7=TRUE,3,"leeg"))))</f>
        <v>2</v>
      </c>
      <c r="H6" s="106" t="s">
        <v>85</v>
      </c>
    </row>
    <row r="7" spans="2:8" s="68" customFormat="1" x14ac:dyDescent="0.25">
      <c r="B7" s="104"/>
      <c r="C7" s="72" t="b">
        <v>0</v>
      </c>
      <c r="D7" s="72" t="b">
        <v>0</v>
      </c>
      <c r="E7" s="73" t="b">
        <v>1</v>
      </c>
      <c r="F7" s="74" t="b">
        <v>0</v>
      </c>
      <c r="G7" s="105"/>
      <c r="H7" s="106"/>
    </row>
    <row r="8" spans="2:8" s="68" customFormat="1" ht="24" x14ac:dyDescent="0.25">
      <c r="B8" s="99" t="s">
        <v>50</v>
      </c>
      <c r="C8" s="87" t="s">
        <v>36</v>
      </c>
      <c r="D8" s="88" t="s">
        <v>51</v>
      </c>
      <c r="E8" s="88" t="s">
        <v>52</v>
      </c>
      <c r="F8" s="93" t="s">
        <v>53</v>
      </c>
      <c r="G8" s="101">
        <f t="shared" ref="G8" si="1">IF(C9=TRUE,0,IF(D9=TRUE,1,IF(E9=TRUE,2,IF(F9=TRUE,3,"leeg"))))</f>
        <v>3</v>
      </c>
      <c r="H8" s="102" t="s">
        <v>86</v>
      </c>
    </row>
    <row r="9" spans="2:8" s="68" customFormat="1" x14ac:dyDescent="0.25">
      <c r="B9" s="100"/>
      <c r="C9" s="90" t="b">
        <v>0</v>
      </c>
      <c r="D9" s="90" t="b">
        <v>0</v>
      </c>
      <c r="E9" s="91" t="b">
        <v>0</v>
      </c>
      <c r="F9" s="94" t="b">
        <v>1</v>
      </c>
      <c r="G9" s="101"/>
      <c r="H9" s="102"/>
    </row>
    <row r="10" spans="2:8" s="68" customFormat="1" ht="24" x14ac:dyDescent="0.25">
      <c r="B10" s="103" t="s">
        <v>54</v>
      </c>
      <c r="C10" s="70" t="s">
        <v>36</v>
      </c>
      <c r="D10" s="70" t="s">
        <v>55</v>
      </c>
      <c r="E10" s="70" t="s">
        <v>56</v>
      </c>
      <c r="F10" s="71" t="s">
        <v>57</v>
      </c>
      <c r="G10" s="105">
        <f t="shared" ref="G10" si="2">IF(C11=TRUE,0,IF(D11=TRUE,1,IF(E11=TRUE,2,IF(F11=TRUE,3,"leeg"))))</f>
        <v>3</v>
      </c>
      <c r="H10" s="106" t="s">
        <v>83</v>
      </c>
    </row>
    <row r="11" spans="2:8" s="68" customFormat="1" x14ac:dyDescent="0.25">
      <c r="B11" s="104"/>
      <c r="C11" s="72" t="b">
        <v>0</v>
      </c>
      <c r="D11" s="72" t="b">
        <v>0</v>
      </c>
      <c r="E11" s="73" t="b">
        <v>0</v>
      </c>
      <c r="F11" s="75" t="b">
        <v>1</v>
      </c>
      <c r="G11" s="105"/>
      <c r="H11" s="106"/>
    </row>
    <row r="12" spans="2:8" s="68" customFormat="1" x14ac:dyDescent="0.25">
      <c r="B12" s="99" t="s">
        <v>58</v>
      </c>
      <c r="C12" s="87" t="s">
        <v>36</v>
      </c>
      <c r="D12" s="95" t="s">
        <v>59</v>
      </c>
      <c r="E12" s="95" t="s">
        <v>60</v>
      </c>
      <c r="F12" s="96" t="s">
        <v>61</v>
      </c>
      <c r="G12" s="101">
        <f t="shared" ref="G12" si="3">IF(C13=TRUE,0,IF(D13=TRUE,1,IF(E13=TRUE,2,IF(F13=TRUE,3,"leeg"))))</f>
        <v>3</v>
      </c>
      <c r="H12" s="102" t="s">
        <v>87</v>
      </c>
    </row>
    <row r="13" spans="2:8" s="68" customFormat="1" x14ac:dyDescent="0.25">
      <c r="B13" s="100"/>
      <c r="C13" s="90" t="b">
        <v>0</v>
      </c>
      <c r="D13" s="90" t="b">
        <v>0</v>
      </c>
      <c r="E13" s="91" t="b">
        <v>0</v>
      </c>
      <c r="F13" s="92" t="b">
        <v>1</v>
      </c>
      <c r="G13" s="101"/>
      <c r="H13" s="102"/>
    </row>
    <row r="14" spans="2:8" s="68" customFormat="1" x14ac:dyDescent="0.25">
      <c r="B14" s="103" t="s">
        <v>62</v>
      </c>
      <c r="C14" s="70" t="s">
        <v>36</v>
      </c>
      <c r="D14" s="70" t="s">
        <v>63</v>
      </c>
      <c r="E14" s="70" t="s">
        <v>64</v>
      </c>
      <c r="F14" s="76" t="s">
        <v>65</v>
      </c>
      <c r="G14" s="105">
        <f t="shared" ref="G14" si="4">IF(C15=TRUE,0,IF(D15=TRUE,1,IF(E15=TRUE,2,IF(F15=TRUE,3,"leeg"))))</f>
        <v>2</v>
      </c>
      <c r="H14" s="106" t="s">
        <v>88</v>
      </c>
    </row>
    <row r="15" spans="2:8" s="68" customFormat="1" x14ac:dyDescent="0.25">
      <c r="B15" s="104"/>
      <c r="C15" s="72" t="b">
        <v>0</v>
      </c>
      <c r="D15" s="72" t="b">
        <v>0</v>
      </c>
      <c r="E15" s="73" t="b">
        <v>1</v>
      </c>
      <c r="F15" s="75" t="b">
        <v>0</v>
      </c>
      <c r="G15" s="105"/>
      <c r="H15" s="106"/>
    </row>
    <row r="16" spans="2:8" s="68" customFormat="1" x14ac:dyDescent="0.25">
      <c r="B16" s="99" t="s">
        <v>66</v>
      </c>
      <c r="C16" s="87" t="s">
        <v>36</v>
      </c>
      <c r="D16" s="95" t="s">
        <v>63</v>
      </c>
      <c r="E16" s="95" t="s">
        <v>64</v>
      </c>
      <c r="F16" s="96" t="s">
        <v>67</v>
      </c>
      <c r="G16" s="101">
        <f t="shared" ref="G16" si="5">IF(C17=TRUE,0,IF(D17=TRUE,1,IF(E17=TRUE,2,IF(F17=TRUE,3,"leeg"))))</f>
        <v>2</v>
      </c>
      <c r="H16" s="102" t="s">
        <v>89</v>
      </c>
    </row>
    <row r="17" spans="2:8" s="68" customFormat="1" x14ac:dyDescent="0.25">
      <c r="B17" s="100"/>
      <c r="C17" s="90" t="b">
        <v>0</v>
      </c>
      <c r="D17" s="90" t="b">
        <v>0</v>
      </c>
      <c r="E17" s="91" t="b">
        <v>1</v>
      </c>
      <c r="F17" s="92" t="b">
        <v>0</v>
      </c>
      <c r="G17" s="101"/>
      <c r="H17" s="102"/>
    </row>
    <row r="18" spans="2:8" s="68" customFormat="1" x14ac:dyDescent="0.25">
      <c r="B18" s="103" t="s">
        <v>68</v>
      </c>
      <c r="C18" s="70" t="s">
        <v>36</v>
      </c>
      <c r="D18" s="70" t="s">
        <v>63</v>
      </c>
      <c r="E18" s="70" t="s">
        <v>64</v>
      </c>
      <c r="F18" s="76" t="s">
        <v>67</v>
      </c>
      <c r="G18" s="105">
        <f t="shared" ref="G18" si="6">IF(C19=TRUE,0,IF(D19=TRUE,1,IF(E19=TRUE,2,IF(F19=TRUE,3,"leeg"))))</f>
        <v>3</v>
      </c>
      <c r="H18" s="106" t="s">
        <v>90</v>
      </c>
    </row>
    <row r="19" spans="2:8" s="68" customFormat="1" x14ac:dyDescent="0.25">
      <c r="B19" s="104"/>
      <c r="C19" s="72" t="b">
        <v>0</v>
      </c>
      <c r="D19" s="72" t="b">
        <v>0</v>
      </c>
      <c r="E19" s="73" t="b">
        <v>0</v>
      </c>
      <c r="F19" s="75" t="b">
        <v>1</v>
      </c>
      <c r="G19" s="105"/>
      <c r="H19" s="106"/>
    </row>
    <row r="20" spans="2:8" s="68" customFormat="1" ht="24" x14ac:dyDescent="0.25">
      <c r="B20" s="99" t="s">
        <v>69</v>
      </c>
      <c r="C20" s="87" t="s">
        <v>36</v>
      </c>
      <c r="D20" s="95" t="s">
        <v>70</v>
      </c>
      <c r="E20" s="95" t="s">
        <v>71</v>
      </c>
      <c r="F20" s="97" t="s">
        <v>72</v>
      </c>
      <c r="G20" s="101">
        <f t="shared" ref="G20" si="7">IF(C21=TRUE,0,IF(D21=TRUE,1,IF(E21=TRUE,2,IF(F21=TRUE,3,"leeg"))))</f>
        <v>2</v>
      </c>
      <c r="H20" s="102" t="s">
        <v>91</v>
      </c>
    </row>
    <row r="21" spans="2:8" s="68" customFormat="1" x14ac:dyDescent="0.25">
      <c r="B21" s="100"/>
      <c r="C21" s="90" t="b">
        <v>0</v>
      </c>
      <c r="D21" s="90" t="b">
        <v>0</v>
      </c>
      <c r="E21" s="91" t="b">
        <v>1</v>
      </c>
      <c r="F21" s="92" t="b">
        <v>0</v>
      </c>
      <c r="G21" s="101"/>
      <c r="H21" s="102"/>
    </row>
    <row r="22" spans="2:8" s="68" customFormat="1" ht="24" x14ac:dyDescent="0.25">
      <c r="B22" s="103" t="s">
        <v>73</v>
      </c>
      <c r="C22" s="70" t="s">
        <v>36</v>
      </c>
      <c r="D22" s="77" t="s">
        <v>74</v>
      </c>
      <c r="E22" s="70" t="s">
        <v>75</v>
      </c>
      <c r="F22" s="71" t="s">
        <v>76</v>
      </c>
      <c r="G22" s="105">
        <f t="shared" ref="G22" si="8">IF(C23=TRUE,0,IF(D23=TRUE,1,IF(E23=TRUE,2,IF(F23=TRUE,3,"leeg"))))</f>
        <v>2</v>
      </c>
      <c r="H22" s="106" t="s">
        <v>93</v>
      </c>
    </row>
    <row r="23" spans="2:8" s="68" customFormat="1" x14ac:dyDescent="0.25">
      <c r="B23" s="104"/>
      <c r="C23" s="72" t="b">
        <v>0</v>
      </c>
      <c r="D23" s="72" t="b">
        <v>0</v>
      </c>
      <c r="E23" s="73" t="b">
        <v>1</v>
      </c>
      <c r="F23" s="74" t="b">
        <v>0</v>
      </c>
      <c r="G23" s="105"/>
      <c r="H23" s="106"/>
    </row>
    <row r="24" spans="2:8" s="68" customFormat="1" x14ac:dyDescent="0.25">
      <c r="B24" s="99" t="s">
        <v>77</v>
      </c>
      <c r="C24" s="87" t="s">
        <v>36</v>
      </c>
      <c r="D24" s="87" t="s">
        <v>78</v>
      </c>
      <c r="E24" s="98" t="s">
        <v>79</v>
      </c>
      <c r="F24" s="98" t="s">
        <v>80</v>
      </c>
      <c r="G24" s="101">
        <f t="shared" ref="G24" si="9">IF(C25=TRUE,0,IF(D25=TRUE,1,IF(E25=TRUE,2,IF(F25=TRUE,3,"leeg"))))</f>
        <v>3</v>
      </c>
      <c r="H24" s="102" t="s">
        <v>92</v>
      </c>
    </row>
    <row r="25" spans="2:8" s="68" customFormat="1" x14ac:dyDescent="0.25">
      <c r="B25" s="100"/>
      <c r="C25" s="90" t="b">
        <v>0</v>
      </c>
      <c r="D25" s="90" t="b">
        <v>0</v>
      </c>
      <c r="E25" s="91" t="b">
        <v>0</v>
      </c>
      <c r="F25" s="92" t="b">
        <v>1</v>
      </c>
      <c r="G25" s="101"/>
      <c r="H25" s="102"/>
    </row>
    <row r="26" spans="2:8" ht="27.65" customHeight="1" x14ac:dyDescent="0.3">
      <c r="B26" s="78"/>
      <c r="C26" s="79"/>
      <c r="D26" s="80"/>
      <c r="E26" s="80"/>
      <c r="F26" s="81" t="s">
        <v>81</v>
      </c>
      <c r="G26" s="82" t="str">
        <f>IF(COUNTIFS(G4:G25,"leeg")&gt;0," ",IF(COUNTIFS(G4:G25,0)&gt;0,"O",IF(COUNTIFS(G4:G25,1)&gt;0,"O",IF(COUNTIFS(G4:G25,3)&gt;7,"G","V"))))</f>
        <v>V</v>
      </c>
      <c r="H26" s="79"/>
    </row>
  </sheetData>
  <mergeCells count="34">
    <mergeCell ref="C2:D2"/>
    <mergeCell ref="B4:B5"/>
    <mergeCell ref="G4:G5"/>
    <mergeCell ref="H4:H5"/>
    <mergeCell ref="B6:B7"/>
    <mergeCell ref="G6:G7"/>
    <mergeCell ref="H6:H7"/>
    <mergeCell ref="B8:B9"/>
    <mergeCell ref="G8:G9"/>
    <mergeCell ref="H8:H9"/>
    <mergeCell ref="B10:B11"/>
    <mergeCell ref="G10:G11"/>
    <mergeCell ref="H10:H11"/>
    <mergeCell ref="B12:B13"/>
    <mergeCell ref="G12:G13"/>
    <mergeCell ref="H12:H13"/>
    <mergeCell ref="B14:B15"/>
    <mergeCell ref="G14:G15"/>
    <mergeCell ref="H14:H15"/>
    <mergeCell ref="B16:B17"/>
    <mergeCell ref="G16:G17"/>
    <mergeCell ref="H16:H17"/>
    <mergeCell ref="B18:B19"/>
    <mergeCell ref="G18:G19"/>
    <mergeCell ref="H18:H19"/>
    <mergeCell ref="B24:B25"/>
    <mergeCell ref="G24:G25"/>
    <mergeCell ref="H24:H25"/>
    <mergeCell ref="B20:B21"/>
    <mergeCell ref="G20:G21"/>
    <mergeCell ref="H20:H21"/>
    <mergeCell ref="B22:B23"/>
    <mergeCell ref="G22:G23"/>
    <mergeCell ref="H22:H23"/>
  </mergeCells>
  <conditionalFormatting sqref="G26">
    <cfRule type="cellIs" dxfId="2" priority="1" operator="equal">
      <formula>"V"</formula>
    </cfRule>
    <cfRule type="cellIs" dxfId="1" priority="2" operator="equal">
      <formula>"G"</formula>
    </cfRule>
    <cfRule type="cellIs" dxfId="0" priority="3" operator="equal">
      <formula>"o"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edf7ced-9c7a-48f8-a07c-98a598b105da">
      <Terms xmlns="http://schemas.microsoft.com/office/infopath/2007/PartnerControls"/>
    </lcf76f155ced4ddcb4097134ff3c332f>
    <TaxCatchAll xmlns="008856c5-5e82-4bb2-b94b-d933afeebe23" xsi:nil="true"/>
    <ReferenceId xmlns="fedf7ced-9c7a-48f8-a07c-98a598b105d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37556A21C5704FADE0E77F73F01C11" ma:contentTypeVersion="11" ma:contentTypeDescription="Een nieuw document maken." ma:contentTypeScope="" ma:versionID="432f9c95925836925e153c50867c4655">
  <xsd:schema xmlns:xsd="http://www.w3.org/2001/XMLSchema" xmlns:xs="http://www.w3.org/2001/XMLSchema" xmlns:p="http://schemas.microsoft.com/office/2006/metadata/properties" xmlns:ns2="fedf7ced-9c7a-48f8-a07c-98a598b105da" xmlns:ns3="008856c5-5e82-4bb2-b94b-d933afeebe23" targetNamespace="http://schemas.microsoft.com/office/2006/metadata/properties" ma:root="true" ma:fieldsID="c13472ed60a2f699e077c98817263639" ns2:_="" ns3:_="">
    <xsd:import namespace="fedf7ced-9c7a-48f8-a07c-98a598b105da"/>
    <xsd:import namespace="008856c5-5e82-4bb2-b94b-d933afeebe23"/>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df7ced-9c7a-48f8-a07c-98a598b105d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913d8191-1fa0-4b0e-82ea-9b3ed889c57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8856c5-5e82-4bb2-b94b-d933afeebe2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dc0fe0d-9128-4420-8534-3a95902df360}" ma:internalName="TaxCatchAll" ma:showField="CatchAllData" ma:web="008856c5-5e82-4bb2-b94b-d933afeebe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D17981-A18F-4D0D-81EF-1093232EB82C}">
  <ds:schemaRefs>
    <ds:schemaRef ds:uri="http://schemas.microsoft.com/office/infopath/2007/PartnerControls"/>
    <ds:schemaRef ds:uri="http://purl.org/dc/elements/1.1/"/>
    <ds:schemaRef ds:uri="fedf7ced-9c7a-48f8-a07c-98a598b105da"/>
    <ds:schemaRef ds:uri="http://purl.org/dc/dcmitype/"/>
    <ds:schemaRef ds:uri="http://schemas.microsoft.com/office/2006/documentManagement/types"/>
    <ds:schemaRef ds:uri="008856c5-5e82-4bb2-b94b-d933afeebe23"/>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6B4AB550-864F-4778-A255-37767FF6E8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df7ced-9c7a-48f8-a07c-98a598b105da"/>
    <ds:schemaRef ds:uri="008856c5-5e82-4bb2-b94b-d933afeebe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955E41-5EBA-4849-A6EC-932D8CFA156C}">
  <ds:schemaRefs>
    <ds:schemaRef ds:uri="http://schemas.microsoft.com/sharepoint/v3/contenttype/forms"/>
  </ds:schemaRefs>
</ds:datastoreItem>
</file>

<file path=docMetadata/LabelInfo.xml><?xml version="1.0" encoding="utf-8"?>
<clbl:labelList xmlns:clbl="http://schemas.microsoft.com/office/2020/mipLabelMetadata">
  <clbl:label id="{bbf63f12-ffda-40f9-93ee-a4e59d1649cf}" enabled="0" method="" siteId="{bbf63f12-ffda-40f9-93ee-a4e59d1649c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Planning</vt:lpstr>
      <vt:lpstr>Rubrics</vt:lpstr>
      <vt:lpstr>Planning!Print_Area</vt:lpstr>
    </vt:vector>
  </TitlesOfParts>
  <Manager/>
  <Company>ROC van Twente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pme01</dc:creator>
  <cp:keywords/>
  <dc:description/>
  <cp:lastModifiedBy>Collin Kloppenburg</cp:lastModifiedBy>
  <cp:revision/>
  <dcterms:created xsi:type="dcterms:W3CDTF">2013-02-04T12:51:03Z</dcterms:created>
  <dcterms:modified xsi:type="dcterms:W3CDTF">2026-06-19T09:33:21Z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0x010100F037556A21C5704FADE0E77F73F01C11</vt:lpwstr>
  </property>
  <property fmtid="{D5CDD505-2E9C-101B-9397-08002B2CF9AE}" pid="3" name="MediaServiceImageTags">
    <vt:lpwstr/>
  </property>
</Properties>
</file>